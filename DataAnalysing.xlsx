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lisha\Desktop\"/>
    </mc:Choice>
  </mc:AlternateContent>
  <xr:revisionPtr revIDLastSave="0" documentId="13_ncr:1_{B8CB105F-CD0E-4EEF-BE15-467BBE40DB3E}" xr6:coauthVersionLast="47" xr6:coauthVersionMax="47" xr10:uidLastSave="{00000000-0000-0000-0000-000000000000}"/>
  <bookViews>
    <workbookView xWindow="-108" yWindow="-108" windowWidth="23256" windowHeight="12456" activeTab="1" xr2:uid="{3780CB46-A405-4AAA-9A43-9A53EF329ECF}"/>
  </bookViews>
  <sheets>
    <sheet name="Pivot" sheetId="2" r:id="rId1"/>
    <sheet name="Dashboard" sheetId="4" r:id="rId2"/>
    <sheet name="Sheet1" sheetId="1" r:id="rId3"/>
  </sheets>
  <definedNames>
    <definedName name="Slicer_Category">#N/A</definedName>
    <definedName name="Slicer_Region">#N/A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4" i="1" l="1"/>
  <c r="B15" i="1"/>
  <c r="B16" i="1"/>
  <c r="B17" i="1"/>
</calcChain>
</file>

<file path=xl/sharedStrings.xml><?xml version="1.0" encoding="utf-8"?>
<sst xmlns="http://schemas.openxmlformats.org/spreadsheetml/2006/main" count="57" uniqueCount="35">
  <si>
    <t xml:space="preserve">Date </t>
  </si>
  <si>
    <t>Region</t>
  </si>
  <si>
    <t>Category</t>
  </si>
  <si>
    <t>Product</t>
  </si>
  <si>
    <t>Quantity</t>
  </si>
  <si>
    <t>Sales</t>
  </si>
  <si>
    <t>Profit</t>
  </si>
  <si>
    <t>North</t>
  </si>
  <si>
    <t>South</t>
  </si>
  <si>
    <t>West</t>
  </si>
  <si>
    <t>East</t>
  </si>
  <si>
    <t>Electronics</t>
  </si>
  <si>
    <t>Furniture</t>
  </si>
  <si>
    <t>Office Supplies</t>
  </si>
  <si>
    <t>Laptop</t>
  </si>
  <si>
    <t>Chair</t>
  </si>
  <si>
    <t>Mouse</t>
  </si>
  <si>
    <t>Notebook</t>
  </si>
  <si>
    <t>Keyboard</t>
  </si>
  <si>
    <t>Table</t>
  </si>
  <si>
    <t>Pen</t>
  </si>
  <si>
    <t>Monitor</t>
  </si>
  <si>
    <t>Sofa</t>
  </si>
  <si>
    <t>Headphones</t>
  </si>
  <si>
    <t>Row Labels</t>
  </si>
  <si>
    <t>Grand Total</t>
  </si>
  <si>
    <t>Sum of Sales</t>
  </si>
  <si>
    <t>Sum of Profit</t>
  </si>
  <si>
    <t>KPI</t>
  </si>
  <si>
    <t>Value</t>
  </si>
  <si>
    <t>Total Sales</t>
  </si>
  <si>
    <t>Total Profit</t>
  </si>
  <si>
    <t>Total Quantity</t>
  </si>
  <si>
    <t>Total Orders</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</si>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</sst>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3" tint="-0.499984740745262"/>
      <name val="Calibri"/>
      <family val="2"/>
      <scheme val="minor"/>
    </font>
    <font>
      <b/>
      <sz val="14"/>
      <color theme="1"/>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3" tint="0.59999389629810485"/>
        <bgColor indexed="64"/>
      </patternFill>
    </fill>
  </fills>
  <borders count="1">
    <border>
      <left/>
      <right/>
      <top/>
      <bottom/>
      <diagonal/>
    </border>
  </borders>
  <cellStyleXfs count="1">
    <xf numFmtId="0" fontId="0" fillId="0" borderId="0"/>
  </cellStyleXfs>
  <cellXfs count="9">
    <xf numFmtId="0" fontId="0" fillId="0" borderId="0" xfId="0"/>
    <xf numFmtId="16" fontId="0" fillId="0" borderId="0" xfId="0" applyNumberFormat="1"/>
    <xf numFmtId="0" fontId="1" fillId="2" borderId="0" xfId="0" applyFont="1" applyFill="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xf numFmtId="0" fontId="1" fillId="3" borderId="0" xfId="0" applyFont="1" applyFill="1" applyAlignment="1">
      <alignment horizontal="center"/>
    </xf>
    <xf numFmtId="0" fontId="2" fillId="0" borderId="0" xfId="0" applyFont="1" applyAlignment="1"/>
  </cellXfs>
  <cellStyles count="1">
    <cellStyle name="Normal" xfId="0" builtinId="0"/>
  </cellStyles>
  <dxfs count="2">
    <dxf>
      <font>
        <b/>
        <i val="0"/>
        <strike val="0"/>
        <condense val="0"/>
        <extend val="0"/>
        <outline val="0"/>
        <shadow val="0"/>
        <u val="none"/>
        <vertAlign val="baseline"/>
        <sz val="11"/>
        <color theme="3" tint="-0.499984740745262"/>
        <name val="Calibri"/>
        <family val="2"/>
        <scheme val="minor"/>
      </font>
      <fill>
        <patternFill patternType="solid">
          <fgColor indexed="64"/>
          <bgColor theme="4" tint="0.59999389629810485"/>
        </patternFill>
      </fill>
      <alignment horizontal="center" vertical="bottom" textRotation="0" wrapText="0" indent="0" justifyLastLine="0" shrinkToFit="0" readingOrder="0"/>
    </dxf>
    <dxf>
      <numFmt numFmtId="21" formatCode="dd/m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[DataAnalysing.xlsx]Pivot!PivotTable1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580927384077"/>
          <c:y val="0.25865522018081066"/>
          <c:w val="0.73578937007874012"/>
          <c:h val="0.53774387576552929"/>
        </c:manualLayout>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Pivot!$A$4:$A$7</c:f>
              <c:strCache>
                <c:ptCount val="3"/>
                <c:pt idx="0">
                  <c:v>Electronics</c:v>
                </c:pt>
                <c:pt idx="1">
                  <c:v>Furniture</c:v>
                </c:pt>
                <c:pt idx="2">
                  <c:v>Office Supplies</c:v>
                </c:pt>
              </c:strCache>
            </c:strRef>
          </c:cat>
          <c:val>
            <c:numRef>
              <c:f>Pivot!$B$4:$B$7</c:f>
              <c:numCache>
                <c:formatCode>General</c:formatCode>
                <c:ptCount val="3"/>
                <c:pt idx="0">
                  <c:v>183000</c:v>
                </c:pt>
                <c:pt idx="1">
                  <c:v>68000</c:v>
                </c:pt>
                <c:pt idx="2">
                  <c:v>6500</c:v>
                </c:pt>
              </c:numCache>
            </c:numRef>
          </c:val>
          <c:extLst>
            <c:ext xmlns:c16="http://schemas.microsoft.com/office/drawing/2014/chart" uri="{C3380CC4-5D6E-409C-BE32-E72D297353CC}">
              <c16:uniqueId val="{00000000-A2F8-48AB-AC1B-4507FE6E6C25}"/>
            </c:ext>
          </c:extLst>
        </c:ser>
        <c:dLbls>
          <c:showLegendKey val="0"/>
          <c:showVal val="0"/>
          <c:showCatName val="0"/>
          <c:showSerName val="0"/>
          <c:showPercent val="0"/>
          <c:showBubbleSize val="0"/>
        </c:dLbls>
        <c:gapWidth val="219"/>
        <c:overlap val="-27"/>
        <c:axId val="1832279311"/>
        <c:axId val="1790728719"/>
      </c:barChart>
      <c:catAx>
        <c:axId val="183227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728719"/>
        <c:crosses val="autoZero"/>
        <c:auto val="1"/>
        <c:lblAlgn val="ctr"/>
        <c:lblOffset val="100"/>
        <c:noMultiLvlLbl val="0"/>
      </c:catAx>
      <c:valAx>
        <c:axId val="1790728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27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[DataAnalysing.xlsx]Pivot!PivotTable3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50466501906238"/>
          <c:y val="0.30773553873947573"/>
          <c:w val="0.72458690154606586"/>
          <c:h val="0.45970063401165762"/>
        </c:manualLayout>
      </c:layout>
      <c:barChart>
        <c:barDir val="col"/>
        <c:grouping val="clustered"/>
        <c:varyColors val="0"/>
        <c:ser>
          <c:idx val="0"/>
          <c:order val="0"/>
          <c:tx>
            <c:strRef>
              <c:f>Pivot!$E$3</c:f>
              <c:strCache>
                <c:ptCount val="1"/>
                <c:pt idx="0">
                  <c:v>Total</c:v>
                </c:pt>
              </c:strCache>
            </c:strRef>
          </c:tx>
          <c:spPr>
            <a:solidFill>
              <a:schemeClr val="accent1"/>
            </a:solidFill>
            <a:ln>
              <a:noFill/>
            </a:ln>
            <a:effectLst/>
          </c:spPr>
          <c:invertIfNegative val="0"/>
          <c:cat>
            <c:strRef>
              <c:f>Pivot!$D$4:$D$8</c:f>
              <c:strCache>
                <c:ptCount val="4"/>
                <c:pt idx="0">
                  <c:v>East</c:v>
                </c:pt>
                <c:pt idx="1">
                  <c:v>North</c:v>
                </c:pt>
                <c:pt idx="2">
                  <c:v>South</c:v>
                </c:pt>
                <c:pt idx="3">
                  <c:v>West</c:v>
                </c:pt>
              </c:strCache>
            </c:strRef>
          </c:cat>
          <c:val>
            <c:numRef>
              <c:f>Pivot!$E$4:$E$8</c:f>
              <c:numCache>
                <c:formatCode>General</c:formatCode>
                <c:ptCount val="4"/>
                <c:pt idx="0">
                  <c:v>9900</c:v>
                </c:pt>
                <c:pt idx="1">
                  <c:v>30500</c:v>
                </c:pt>
                <c:pt idx="2">
                  <c:v>11000</c:v>
                </c:pt>
                <c:pt idx="3">
                  <c:v>1900</c:v>
                </c:pt>
              </c:numCache>
            </c:numRef>
          </c:val>
          <c:extLst>
            <c:ext xmlns:c16="http://schemas.microsoft.com/office/drawing/2014/chart" uri="{C3380CC4-5D6E-409C-BE32-E72D297353CC}">
              <c16:uniqueId val="{00000000-F5F1-4C40-ACAF-C6447E87F42B}"/>
            </c:ext>
          </c:extLst>
        </c:ser>
        <c:dLbls>
          <c:showLegendKey val="0"/>
          <c:showVal val="0"/>
          <c:showCatName val="0"/>
          <c:showSerName val="0"/>
          <c:showPercent val="0"/>
          <c:showBubbleSize val="0"/>
        </c:dLbls>
        <c:gapWidth val="219"/>
        <c:overlap val="-27"/>
        <c:axId val="1832279775"/>
        <c:axId val="1790723439"/>
      </c:barChart>
      <c:catAx>
        <c:axId val="183227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723439"/>
        <c:crosses val="autoZero"/>
        <c:auto val="1"/>
        <c:lblAlgn val="ctr"/>
        <c:lblOffset val="100"/>
        <c:noMultiLvlLbl val="0"/>
      </c:catAx>
      <c:valAx>
        <c:axId val="1790723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27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[DataAnalysing.xlsx]Pivot!PivotTable1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580927384077"/>
          <c:y val="0.25865522018081066"/>
          <c:w val="0.73578937007874012"/>
          <c:h val="0.53774387576552929"/>
        </c:manualLayout>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Pivot!$A$4:$A$7</c:f>
              <c:strCache>
                <c:ptCount val="3"/>
                <c:pt idx="0">
                  <c:v>Electronics</c:v>
                </c:pt>
                <c:pt idx="1">
                  <c:v>Furniture</c:v>
                </c:pt>
                <c:pt idx="2">
                  <c:v>Office Supplies</c:v>
                </c:pt>
              </c:strCache>
            </c:strRef>
          </c:cat>
          <c:val>
            <c:numRef>
              <c:f>Pivot!$B$4:$B$7</c:f>
              <c:numCache>
                <c:formatCode>General</c:formatCode>
                <c:ptCount val="3"/>
                <c:pt idx="0">
                  <c:v>183000</c:v>
                </c:pt>
                <c:pt idx="1">
                  <c:v>68000</c:v>
                </c:pt>
                <c:pt idx="2">
                  <c:v>6500</c:v>
                </c:pt>
              </c:numCache>
            </c:numRef>
          </c:val>
          <c:extLst>
            <c:ext xmlns:c16="http://schemas.microsoft.com/office/drawing/2014/chart" uri="{C3380CC4-5D6E-409C-BE32-E72D297353CC}">
              <c16:uniqueId val="{00000000-8510-412E-B4F5-627E6FDAA5DF}"/>
            </c:ext>
          </c:extLst>
        </c:ser>
        <c:dLbls>
          <c:showLegendKey val="0"/>
          <c:showVal val="0"/>
          <c:showCatName val="0"/>
          <c:showSerName val="0"/>
          <c:showPercent val="0"/>
          <c:showBubbleSize val="0"/>
        </c:dLbls>
        <c:gapWidth val="219"/>
        <c:overlap val="-27"/>
        <c:axId val="1832279311"/>
        <c:axId val="1790728719"/>
      </c:barChart>
      <c:catAx>
        <c:axId val="183227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728719"/>
        <c:crosses val="autoZero"/>
        <c:auto val="1"/>
        <c:lblAlgn val="ctr"/>
        <c:lblOffset val="100"/>
        <c:noMultiLvlLbl val="0"/>
      </c:catAx>
      <c:valAx>
        <c:axId val="1790728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27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[DataAnalysing.xlsx]Pivot!PivotTable3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50466501906238"/>
          <c:y val="0.30773553873947573"/>
          <c:w val="0.72458690154606586"/>
          <c:h val="0.45970063401165762"/>
        </c:manualLayout>
      </c:layout>
      <c:barChart>
        <c:barDir val="col"/>
        <c:grouping val="clustered"/>
        <c:varyColors val="0"/>
        <c:ser>
          <c:idx val="0"/>
          <c:order val="0"/>
          <c:tx>
            <c:strRef>
              <c:f>Pivot!$E$3</c:f>
              <c:strCache>
                <c:ptCount val="1"/>
                <c:pt idx="0">
                  <c:v>Total</c:v>
                </c:pt>
              </c:strCache>
            </c:strRef>
          </c:tx>
          <c:spPr>
            <a:solidFill>
              <a:schemeClr val="accent1"/>
            </a:solidFill>
            <a:ln>
              <a:noFill/>
            </a:ln>
            <a:effectLst/>
          </c:spPr>
          <c:invertIfNegative val="0"/>
          <c:cat>
            <c:strRef>
              <c:f>Pivot!$D$4:$D$8</c:f>
              <c:strCache>
                <c:ptCount val="4"/>
                <c:pt idx="0">
                  <c:v>East</c:v>
                </c:pt>
                <c:pt idx="1">
                  <c:v>North</c:v>
                </c:pt>
                <c:pt idx="2">
                  <c:v>South</c:v>
                </c:pt>
                <c:pt idx="3">
                  <c:v>West</c:v>
                </c:pt>
              </c:strCache>
            </c:strRef>
          </c:cat>
          <c:val>
            <c:numRef>
              <c:f>Pivot!$E$4:$E$8</c:f>
              <c:numCache>
                <c:formatCode>General</c:formatCode>
                <c:ptCount val="4"/>
                <c:pt idx="0">
                  <c:v>9900</c:v>
                </c:pt>
                <c:pt idx="1">
                  <c:v>30500</c:v>
                </c:pt>
                <c:pt idx="2">
                  <c:v>11000</c:v>
                </c:pt>
                <c:pt idx="3">
                  <c:v>1900</c:v>
                </c:pt>
              </c:numCache>
            </c:numRef>
          </c:val>
          <c:extLst>
            <c:ext xmlns:c16="http://schemas.microsoft.com/office/drawing/2014/chart" uri="{C3380CC4-5D6E-409C-BE32-E72D297353CC}">
              <c16:uniqueId val="{00000000-24B7-4527-9EB3-DA4BBE76F7E4}"/>
            </c:ext>
          </c:extLst>
        </c:ser>
        <c:dLbls>
          <c:showLegendKey val="0"/>
          <c:showVal val="0"/>
          <c:showCatName val="0"/>
          <c:showSerName val="0"/>
          <c:showPercent val="0"/>
          <c:showBubbleSize val="0"/>
        </c:dLbls>
        <c:gapWidth val="219"/>
        <c:overlap val="-27"/>
        <c:axId val="1832279775"/>
        <c:axId val="1790723439"/>
      </c:barChart>
      <c:catAx>
        <c:axId val="183227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723439"/>
        <c:crosses val="autoZero"/>
        <c:auto val="1"/>
        <c:lblAlgn val="ctr"/>
        <c:lblOffset val="100"/>
        <c:noMultiLvlLbl val="0"/>
      </c:catAx>
      <c:valAx>
        <c:axId val="1790723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27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144780</xdr:colOff>
      <xdr:row>9</xdr:row>
      <xdr:rowOff>68580</xdr:rowOff>
    </xdr:from>
    <xdr:to>
      <xdr:col>5</xdr:col>
      <xdr:colOff>327660</xdr:colOff>
      <xdr:row>23</xdr:row>
      <xdr:rowOff>38100</xdr:rowOff>
    </xdr:to>
    <xdr:graphicFrame macro="">
      <xdr:nvGraphicFramePr>
        <xdr:cNvPr id="2" name="Chart 1">
          <a:extLst>
            <a:ext uri="{FF2B5EF4-FFF2-40B4-BE49-F238E27FC236}">
              <a16:creationId xmlns:a16="http://schemas.microsoft.com/office/drawing/2014/main" id="{0B78EA8B-8FBD-D687-2026-C5BE0C37CA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464820</xdr:colOff>
      <xdr:row>1</xdr:row>
      <xdr:rowOff>22860</xdr:rowOff>
    </xdr:from>
    <xdr:to>
      <xdr:col>12</xdr:col>
      <xdr:colOff>373380</xdr:colOff>
      <xdr:row>13</xdr:row>
      <xdr:rowOff>175260</xdr:rowOff>
    </xdr:to>
    <xdr:graphicFrame macro="">
      <xdr:nvGraphicFramePr>
        <xdr:cNvPr id="3" name="Chart 2">
          <a:extLst>
            <a:ext uri="{FF2B5EF4-FFF2-40B4-BE49-F238E27FC236}">
              <a16:creationId xmlns:a16="http://schemas.microsoft.com/office/drawing/2014/main" id="{90174EC6-BFD8-EE4D-1357-9A4A5942B7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144780</xdr:rowOff>
    </xdr:from>
    <xdr:to>
      <xdr:col>7</xdr:col>
      <xdr:colOff>0</xdr:colOff>
      <xdr:row>16</xdr:row>
      <xdr:rowOff>121920</xdr:rowOff>
    </xdr:to>
    <xdr:graphicFrame macro="">
      <xdr:nvGraphicFramePr>
        <xdr:cNvPr id="2" name="Chart 1">
          <a:extLst>
            <a:ext uri="{FF2B5EF4-FFF2-40B4-BE49-F238E27FC236}">
              <a16:creationId xmlns:a16="http://schemas.microsoft.com/office/drawing/2014/main" id="{E3CCCACA-6AFE-4449-A65A-E437D741FD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571500</xdr:colOff>
      <xdr:row>1</xdr:row>
      <xdr:rowOff>137160</xdr:rowOff>
    </xdr:from>
    <xdr:to>
      <xdr:col>15</xdr:col>
      <xdr:colOff>586740</xdr:colOff>
      <xdr:row>16</xdr:row>
      <xdr:rowOff>121920</xdr:rowOff>
    </xdr:to>
    <xdr:graphicFrame macro="">
      <xdr:nvGraphicFramePr>
        <xdr:cNvPr id="3" name="Chart 2">
          <a:extLst>
            <a:ext uri="{FF2B5EF4-FFF2-40B4-BE49-F238E27FC236}">
              <a16:creationId xmlns:a16="http://schemas.microsoft.com/office/drawing/2014/main" id="{AC81CDB3-A358-4A3D-BEF5-5DC8C24FF2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53340</xdr:colOff>
      <xdr:row>16</xdr:row>
      <xdr:rowOff>137160</xdr:rowOff>
    </xdr:from>
    <xdr:to>
      <xdr:col>11</xdr:col>
      <xdr:colOff>53340</xdr:colOff>
      <xdr:row>30</xdr:row>
      <xdr:rowOff>43815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C345197D-7DB1-CFF5-7154-70BF1314BB3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930140" y="3108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16</xdr:row>
      <xdr:rowOff>167640</xdr:rowOff>
    </xdr:from>
    <xdr:to>
      <xdr:col>3</xdr:col>
      <xdr:colOff>45720</xdr:colOff>
      <xdr:row>30</xdr:row>
      <xdr:rowOff>74295</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5593D770-6F03-205D-BB4D-92CD00F6B55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5720" y="3139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sha" refreshedDate="46207.876670138889" createdVersion="8" refreshedVersion="8" minRefreshableVersion="3" recordCount="10" xr:uid="{C6B3EC22-F3D7-4D8E-9690-D23C3BD31767}">
  <cacheSource type="worksheet">
    <worksheetSource name="SalesData"/>
  </cacheSource>
  <cacheFields count="7">
    <cacheField name="Date " numFmtId="16">
      <sharedItems containsSemiMixedTypes="0" containsNonDate="0" containsDate="1" containsString="0" minDate="2026-01-01T00:00:00" maxDate="2026-01-11T00:00:00"/>
    </cacheField>
    <cacheField name="Region" numFmtId="0">
      <sharedItems count="4">
        <s v="North"/>
        <s v="South"/>
        <s v="West"/>
        <s v="East"/>
      </sharedItems>
    </cacheField>
    <cacheField name="Category" numFmtId="0">
      <sharedItems count="3">
        <s v="Electronics"/>
        <s v="Furniture"/>
        <s v="Office Supplies"/>
      </sharedItems>
    </cacheField>
    <cacheField name="Product" numFmtId="0">
      <sharedItems/>
    </cacheField>
    <cacheField name="Quantity" numFmtId="0">
      <sharedItems containsSemiMixedTypes="0" containsString="0" containsNumber="1" containsInteger="1" minValue="1" maxValue="50"/>
    </cacheField>
    <cacheField name="Sales" numFmtId="0">
      <sharedItems containsSemiMixedTypes="0" containsString="0" containsNumber="1" containsInteger="1" minValue="2500" maxValue="100000"/>
    </cacheField>
    <cacheField name="Profit" numFmtId="0">
      <sharedItems containsSemiMixedTypes="0" containsString="0" containsNumber="1" containsInteger="1" minValue="700" maxValue="20000"/>
    </cacheField>
  </cacheFields>
  <extLst>
    <ext xmlns:x14="http://schemas.microsoft.com/office/spreadsheetml/2009/9/main" uri="{725AE2AE-9491-48be-B2B4-4EB974FC3084}">
      <x14:pivotCacheDefinition pivotCacheId="1067885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d v="2026-01-01T00:00:00"/>
    <x v="0"/>
    <x v="0"/>
    <s v="Laptop"/>
    <n v="2"/>
    <n v="100000"/>
    <n v="20000"/>
  </r>
  <r>
    <d v="2026-01-02T00:00:00"/>
    <x v="1"/>
    <x v="1"/>
    <s v="Chair"/>
    <n v="5"/>
    <n v="15000"/>
    <n v="3000"/>
  </r>
  <r>
    <d v="2026-01-03T00:00:00"/>
    <x v="2"/>
    <x v="0"/>
    <s v="Mouse"/>
    <n v="10"/>
    <n v="5000"/>
    <n v="1200"/>
  </r>
  <r>
    <d v="2026-01-04T00:00:00"/>
    <x v="3"/>
    <x v="2"/>
    <s v="Notebook"/>
    <n v="20"/>
    <n v="4000"/>
    <n v="900"/>
  </r>
  <r>
    <d v="2026-01-05T00:00:00"/>
    <x v="0"/>
    <x v="0"/>
    <s v="Keyboard"/>
    <n v="8"/>
    <n v="12000"/>
    <n v="2500"/>
  </r>
  <r>
    <d v="2026-01-06T00:00:00"/>
    <x v="1"/>
    <x v="1"/>
    <s v="Table"/>
    <n v="3"/>
    <n v="18000"/>
    <n v="4500"/>
  </r>
  <r>
    <d v="2026-01-07T00:00:00"/>
    <x v="2"/>
    <x v="2"/>
    <s v="Pen"/>
    <n v="50"/>
    <n v="2500"/>
    <n v="700"/>
  </r>
  <r>
    <d v="2026-01-08T00:00:00"/>
    <x v="3"/>
    <x v="0"/>
    <s v="Monitor"/>
    <n v="4"/>
    <n v="48000"/>
    <n v="9000"/>
  </r>
  <r>
    <d v="2026-01-09T00:00:00"/>
    <x v="0"/>
    <x v="1"/>
    <s v="Sofa"/>
    <n v="1"/>
    <n v="35000"/>
    <n v="8000"/>
  </r>
  <r>
    <d v="2026-01-10T00:00:00"/>
    <x v="1"/>
    <x v="0"/>
    <s v="Headphones"/>
    <n v="6"/>
    <n v="18000"/>
    <n v="3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D9FE3D-E01E-452A-B1C1-CC1801F71401}"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8" firstHeaderRow="1" firstDataRow="1" firstDataCol="1"/>
  <pivotFields count="7">
    <pivotField numFmtId="16" showAll="0"/>
    <pivotField axis="axisRow" showAll="0">
      <items count="5">
        <item x="3"/>
        <item x="0"/>
        <item x="1"/>
        <item x="2"/>
        <item t="default"/>
      </items>
    </pivotField>
    <pivotField showAll="0"/>
    <pivotField showAll="0"/>
    <pivotField showAll="0"/>
    <pivotField showAll="0"/>
    <pivotField dataField="1" showAll="0"/>
  </pivotFields>
  <rowFields count="1">
    <field x="1"/>
  </rowFields>
  <rowItems count="5">
    <i>
      <x/>
    </i>
    <i>
      <x v="1"/>
    </i>
    <i>
      <x v="2"/>
    </i>
    <i>
      <x v="3"/>
    </i>
    <i t="grand">
      <x/>
    </i>
  </rowItems>
  <colItems count="1">
    <i/>
  </colItems>
  <dataFields count="1">
    <dataField name="Sum of Profit" fld="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9052CC-2551-4840-8503-7895C49FEA81}"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7">
    <pivotField numFmtId="16" showAll="0"/>
    <pivotField showAll="0">
      <items count="5">
        <item x="3"/>
        <item x="0"/>
        <item x="1"/>
        <item x="2"/>
        <item t="default"/>
      </items>
    </pivotField>
    <pivotField axis="axisRow" showAll="0">
      <items count="4">
        <item x="0"/>
        <item x="1"/>
        <item x="2"/>
        <item t="default"/>
      </items>
    </pivotField>
    <pivotField showAll="0"/>
    <pivotField showAll="0"/>
    <pivotField dataField="1" showAll="0"/>
    <pivotField showAll="0"/>
  </pivotFields>
  <rowFields count="1">
    <field x="2"/>
  </rowFields>
  <rowItems count="4">
    <i>
      <x/>
    </i>
    <i>
      <x v="1"/>
    </i>
    <i>
      <x v="2"/>
    </i>
    <i t="grand">
      <x/>
    </i>
  </rowItems>
  <colItems count="1">
    <i/>
  </colItems>
  <dataFields count="1">
    <dataField name="Sum of Sales" fld="5"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745E84B-CD5F-4F81-BF82-DD0E65FE697E}" sourceName="Region">
  <pivotTables>
    <pivotTable tabId="2" name="PivotTable1"/>
    <pivotTable tabId="2" name="PivotTable3"/>
  </pivotTables>
  <data>
    <tabular pivotCacheId="106788511">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CD85BBC-8363-49DB-BBF6-886772A82E58}" sourceName="Category">
  <pivotTables>
    <pivotTable tabId="2" name="PivotTable1"/>
  </pivotTables>
  <data>
    <tabular pivotCacheId="10678851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87A676D-F24B-4C06-A57F-6174D8476439}" cache="Slicer_Region" caption="Region" style="SlicerStyleOther2" rowHeight="234950"/>
  <slicer name="Category" xr10:uid="{E802F408-FCCE-4A60-B4A3-BCE92DF583F9}" cache="Slicer_Category" caption="Category"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C4AB2A-75F4-4ABE-8DA0-FFD580C077C6}" name="SalesData" displayName="SalesData" ref="A1:G11" totalsRowShown="0" headerRowDxfId="0">
  <autoFilter ref="A1:G11" xr:uid="{0EC4AB2A-75F4-4ABE-8DA0-FFD580C077C6}"/>
  <tableColumns count="7">
    <tableColumn id="1" xr3:uid="{DAA5BAC4-55B0-480C-BAAD-DB98C40AC8DD}" name="Date " dataDxfId="1"/>
    <tableColumn id="2" xr3:uid="{A8B21E07-0A85-4C26-93AE-FC87EFEC2BD0}" name="Region"/>
    <tableColumn id="3" xr3:uid="{EAEAFF2B-63EF-41E1-9298-195DE00E98B4}" name="Category"/>
    <tableColumn id="4" xr3:uid="{C0AFA7F8-20F8-4604-8EA5-5E31CEBBD149}" name="Product"/>
    <tableColumn id="5" xr3:uid="{159D2C8A-14EA-4185-9BC9-98BDE82CCD9E}" name="Quantity"/>
    <tableColumn id="6" xr3:uid="{AE68D778-EF0D-4F51-AD76-36B95D2A30D7}" name="Sales"/>
    <tableColumn id="7" xr3:uid="{C02BF502-788D-4DC6-A8A4-F825AF7FC797}"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543EE-CA6C-4E1E-A2F4-37A70CA48789}">
  <dimension ref="A3:E8"/>
  <sheetViews>
    <sheetView workbookViewId="0">
      <selection activeCell="N16" sqref="N16"/>
    </sheetView>
  </sheetViews>
  <sheetFormatPr defaultRowHeight="14.4" x14ac:dyDescent="0.3"/>
  <cols>
    <col min="1" max="1" width="13.109375" bestFit="1" customWidth="1"/>
    <col min="2" max="2" width="11.6640625" bestFit="1" customWidth="1"/>
    <col min="4" max="4" width="12.5546875" bestFit="1" customWidth="1"/>
    <col min="5" max="5" width="12.109375" bestFit="1" customWidth="1"/>
  </cols>
  <sheetData>
    <row r="3" spans="1:5" x14ac:dyDescent="0.3">
      <c r="A3" s="3" t="s">
        <v>24</v>
      </c>
      <c r="B3" t="s">
        <v>26</v>
      </c>
      <c r="D3" s="3" t="s">
        <v>24</v>
      </c>
      <c r="E3" t="s">
        <v>27</v>
      </c>
    </row>
    <row r="4" spans="1:5" x14ac:dyDescent="0.3">
      <c r="A4" s="4" t="s">
        <v>11</v>
      </c>
      <c r="B4" s="5">
        <v>183000</v>
      </c>
      <c r="D4" s="4" t="s">
        <v>10</v>
      </c>
      <c r="E4" s="5">
        <v>9900</v>
      </c>
    </row>
    <row r="5" spans="1:5" x14ac:dyDescent="0.3">
      <c r="A5" s="4" t="s">
        <v>12</v>
      </c>
      <c r="B5" s="5">
        <v>68000</v>
      </c>
      <c r="D5" s="4" t="s">
        <v>7</v>
      </c>
      <c r="E5" s="5">
        <v>30500</v>
      </c>
    </row>
    <row r="6" spans="1:5" x14ac:dyDescent="0.3">
      <c r="A6" s="4" t="s">
        <v>13</v>
      </c>
      <c r="B6" s="5">
        <v>6500</v>
      </c>
      <c r="D6" s="4" t="s">
        <v>8</v>
      </c>
      <c r="E6" s="5">
        <v>11000</v>
      </c>
    </row>
    <row r="7" spans="1:5" x14ac:dyDescent="0.3">
      <c r="A7" s="4" t="s">
        <v>25</v>
      </c>
      <c r="B7" s="5">
        <v>257500</v>
      </c>
      <c r="D7" s="4" t="s">
        <v>9</v>
      </c>
      <c r="E7" s="5">
        <v>1900</v>
      </c>
    </row>
    <row r="8" spans="1:5" x14ac:dyDescent="0.3">
      <c r="D8" s="4" t="s">
        <v>25</v>
      </c>
      <c r="E8" s="5">
        <v>53300</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A2AD3-4E2C-42A7-90AF-7B2B31230FCF}">
  <dimension ref="A1:P1"/>
  <sheetViews>
    <sheetView tabSelected="1" topLeftCell="A5" workbookViewId="0">
      <selection activeCell="R18" sqref="R18:R19"/>
    </sheetView>
  </sheetViews>
  <sheetFormatPr defaultRowHeight="14.4" x14ac:dyDescent="0.3"/>
  <cols>
    <col min="1" max="16" width="8.88671875" style="6"/>
  </cols>
  <sheetData>
    <row r="1" spans="6:6" ht="18" x14ac:dyDescent="0.35">
      <c r="F1" s="8" t="s">
        <v>34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9CEAB-3455-4EBF-8BB0-22CD9A74CBE5}">
  <dimension ref="A1:G17"/>
  <sheetViews>
    <sheetView workbookViewId="0"/>
  </sheetViews>
  <sheetFormatPr defaultRowHeight="14.4" x14ac:dyDescent="0.3"/>
  <cols>
    <col min="1" max="1" width="12.6640625" bestFit="1" customWidth="1"/>
    <col min="2" max="2" width="11.21875" bestFit="1" customWidth="1"/>
    <col min="3" max="3" width="13.109375" bestFit="1" customWidth="1"/>
    <col min="4" max="4" width="12.109375" bestFit="1" customWidth="1"/>
    <col min="5" max="5" width="12.77734375" bestFit="1" customWidth="1"/>
    <col min="6" max="6" width="9.6640625" bestFit="1" customWidth="1"/>
    <col min="7" max="7" width="10.109375" bestFit="1" customWidth="1"/>
  </cols>
  <sheetData>
    <row r="1" spans="1:7" x14ac:dyDescent="0.3">
      <c r="A1" s="2" t="s">
        <v>0</v>
      </c>
      <c r="B1" s="2" t="s">
        <v>1</v>
      </c>
      <c r="C1" s="2" t="s">
        <v>2</v>
      </c>
      <c r="D1" s="2" t="s">
        <v>3</v>
      </c>
      <c r="E1" s="2" t="s">
        <v>4</v>
      </c>
      <c r="F1" s="2" t="s">
        <v>5</v>
      </c>
      <c r="G1" s="2" t="s">
        <v>6</v>
      </c>
    </row>
    <row r="2" spans="1:7" x14ac:dyDescent="0.3">
      <c r="A2" s="1">
        <v>46023</v>
      </c>
      <c r="B2" t="s">
        <v>7</v>
      </c>
      <c r="C2" t="s">
        <v>11</v>
      </c>
      <c r="D2" t="s">
        <v>14</v>
      </c>
      <c r="E2">
        <v>2</v>
      </c>
      <c r="F2">
        <v>100000</v>
      </c>
      <c r="G2">
        <v>20000</v>
      </c>
    </row>
    <row r="3" spans="1:7" x14ac:dyDescent="0.3">
      <c r="A3" s="1">
        <v>46024</v>
      </c>
      <c r="B3" t="s">
        <v>8</v>
      </c>
      <c r="C3" t="s">
        <v>12</v>
      </c>
      <c r="D3" t="s">
        <v>15</v>
      </c>
      <c r="E3">
        <v>5</v>
      </c>
      <c r="F3">
        <v>15000</v>
      </c>
      <c r="G3">
        <v>3000</v>
      </c>
    </row>
    <row r="4" spans="1:7" x14ac:dyDescent="0.3">
      <c r="A4" s="1">
        <v>46025</v>
      </c>
      <c r="B4" t="s">
        <v>9</v>
      </c>
      <c r="C4" t="s">
        <v>11</v>
      </c>
      <c r="D4" t="s">
        <v>16</v>
      </c>
      <c r="E4">
        <v>10</v>
      </c>
      <c r="F4">
        <v>5000</v>
      </c>
      <c r="G4">
        <v>1200</v>
      </c>
    </row>
    <row r="5" spans="1:7" x14ac:dyDescent="0.3">
      <c r="A5" s="1">
        <v>46026</v>
      </c>
      <c r="B5" t="s">
        <v>10</v>
      </c>
      <c r="C5" t="s">
        <v>13</v>
      </c>
      <c r="D5" t="s">
        <v>17</v>
      </c>
      <c r="E5">
        <v>20</v>
      </c>
      <c r="F5">
        <v>4000</v>
      </c>
      <c r="G5">
        <v>900</v>
      </c>
    </row>
    <row r="6" spans="1:7" x14ac:dyDescent="0.3">
      <c r="A6" s="1">
        <v>46027</v>
      </c>
      <c r="B6" t="s">
        <v>7</v>
      </c>
      <c r="C6" t="s">
        <v>11</v>
      </c>
      <c r="D6" t="s">
        <v>18</v>
      </c>
      <c r="E6">
        <v>8</v>
      </c>
      <c r="F6">
        <v>12000</v>
      </c>
      <c r="G6">
        <v>2500</v>
      </c>
    </row>
    <row r="7" spans="1:7" x14ac:dyDescent="0.3">
      <c r="A7" s="1">
        <v>46028</v>
      </c>
      <c r="B7" t="s">
        <v>8</v>
      </c>
      <c r="C7" t="s">
        <v>12</v>
      </c>
      <c r="D7" t="s">
        <v>19</v>
      </c>
      <c r="E7">
        <v>3</v>
      </c>
      <c r="F7">
        <v>18000</v>
      </c>
      <c r="G7">
        <v>4500</v>
      </c>
    </row>
    <row r="8" spans="1:7" x14ac:dyDescent="0.3">
      <c r="A8" s="1">
        <v>46029</v>
      </c>
      <c r="B8" t="s">
        <v>9</v>
      </c>
      <c r="C8" t="s">
        <v>13</v>
      </c>
      <c r="D8" t="s">
        <v>20</v>
      </c>
      <c r="E8">
        <v>50</v>
      </c>
      <c r="F8">
        <v>2500</v>
      </c>
      <c r="G8">
        <v>700</v>
      </c>
    </row>
    <row r="9" spans="1:7" x14ac:dyDescent="0.3">
      <c r="A9" s="1">
        <v>46030</v>
      </c>
      <c r="B9" t="s">
        <v>10</v>
      </c>
      <c r="C9" t="s">
        <v>11</v>
      </c>
      <c r="D9" t="s">
        <v>21</v>
      </c>
      <c r="E9">
        <v>4</v>
      </c>
      <c r="F9">
        <v>48000</v>
      </c>
      <c r="G9">
        <v>9000</v>
      </c>
    </row>
    <row r="10" spans="1:7" x14ac:dyDescent="0.3">
      <c r="A10" s="1">
        <v>46031</v>
      </c>
      <c r="B10" t="s">
        <v>7</v>
      </c>
      <c r="C10" t="s">
        <v>12</v>
      </c>
      <c r="D10" t="s">
        <v>22</v>
      </c>
      <c r="E10">
        <v>1</v>
      </c>
      <c r="F10">
        <v>35000</v>
      </c>
      <c r="G10">
        <v>8000</v>
      </c>
    </row>
    <row r="11" spans="1:7" x14ac:dyDescent="0.3">
      <c r="A11" s="1">
        <v>46032</v>
      </c>
      <c r="B11" t="s">
        <v>8</v>
      </c>
      <c r="C11" t="s">
        <v>11</v>
      </c>
      <c r="D11" t="s">
        <v>23</v>
      </c>
      <c r="E11">
        <v>6</v>
      </c>
      <c r="F11">
        <v>18000</v>
      </c>
      <c r="G11">
        <v>3500</v>
      </c>
    </row>
    <row r="13" spans="1:7" x14ac:dyDescent="0.3">
      <c r="A13" s="7" t="s">
        <v>28</v>
      </c>
      <c r="B13" s="7" t="s">
        <v>29</v>
      </c>
    </row>
    <row r="14" spans="1:7" x14ac:dyDescent="0.3">
      <c r="A14" t="s">
        <v>30</v>
      </c>
      <c r="B14">
        <f>SUM(SalesData[Sales])</f>
        <v>257500</v>
      </c>
    </row>
    <row r="15" spans="1:7" x14ac:dyDescent="0.3">
      <c r="A15" t="s">
        <v>31</v>
      </c>
      <c r="B15">
        <f>SUM(SalesData[Profit])</f>
        <v>53300</v>
      </c>
    </row>
    <row r="16" spans="1:7" x14ac:dyDescent="0.3">
      <c r="A16" t="s">
        <v>32</v>
      </c>
      <c r="B16">
        <f>COUNT(SalesData[Quantity])</f>
        <v>10</v>
      </c>
    </row>
    <row r="17" spans="1:2" x14ac:dyDescent="0.3">
      <c r="A17" t="s">
        <v>33</v>
      </c>
      <c r="B17">
        <f>SUM(SalesData[Quantity])</f>
        <v>109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Alisha Singh</dc:creator>
  <cp:lastModifiedBy>Alisha Singh</cp:lastModifiedBy>
  <dcterms:created xsi:type="dcterms:W3CDTF">2026-07-04T15:21:33Z</dcterms:created>
  <dcterms:modified xsi:type="dcterms:W3CDTF">2026-07-05T17:40:12Z</dcterms:modified>
</cp:coreProperties>
</file>